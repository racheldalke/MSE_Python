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alke\Projects\MSE_Python\templates\"/>
    </mc:Choice>
  </mc:AlternateContent>
  <xr:revisionPtr revIDLastSave="0" documentId="13_ncr:1_{BFE2837D-63D5-42FC-935D-7E9D1E657281}" xr6:coauthVersionLast="47" xr6:coauthVersionMax="47" xr10:uidLastSave="{00000000-0000-0000-0000-000000000000}"/>
  <bookViews>
    <workbookView xWindow="-57720" yWindow="-120" windowWidth="29040" windowHeight="15720" xr2:uid="{540461A6-84CE-4B9E-A1D0-A2AAB330052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3" i="1"/>
  <c r="C2" i="1"/>
</calcChain>
</file>

<file path=xl/sharedStrings.xml><?xml version="1.0" encoding="utf-8"?>
<sst xmlns="http://schemas.openxmlformats.org/spreadsheetml/2006/main" count="31" uniqueCount="26">
  <si>
    <t>b</t>
  </si>
  <si>
    <t>c</t>
  </si>
  <si>
    <t>d</t>
  </si>
  <si>
    <t>i</t>
  </si>
  <si>
    <t>m, partition coefficient</t>
  </si>
  <si>
    <t>n/a</t>
  </si>
  <si>
    <t>system volume</t>
  </si>
  <si>
    <t>mL</t>
  </si>
  <si>
    <t>sample volume</t>
  </si>
  <si>
    <t>organic phase density</t>
  </si>
  <si>
    <t>kg/m3</t>
  </si>
  <si>
    <t>aqueous phase density</t>
  </si>
  <si>
    <t>Kov_exp</t>
  </si>
  <si>
    <t>m/s</t>
  </si>
  <si>
    <t>active area</t>
  </si>
  <si>
    <t>time_hr</t>
  </si>
  <si>
    <t>system_vol_mL</t>
  </si>
  <si>
    <t>conc_bulk_org_gm3</t>
  </si>
  <si>
    <t>conc_bulk_aq_gm3</t>
  </si>
  <si>
    <t>driving_force_gm3</t>
  </si>
  <si>
    <t>conc_bulk_org_gg</t>
  </si>
  <si>
    <t>conc_bulk_aq_gg</t>
  </si>
  <si>
    <t>system_mass_g</t>
  </si>
  <si>
    <t>C_model_gg</t>
  </si>
  <si>
    <t>dCdt_gg_per_h</t>
  </si>
  <si>
    <t>J_g_m2_h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</si>
</sst>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Arial"/>
      <family val="2"/>
      <scheme val="minor"/>
    </font>
    <font>
      <b/>
      <sz val="11"/>
      <color rgb="FF00000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2" fillId="2" borderId="1" xfId="1" applyBorder="1" applyAlignment="1">
      <alignment horizontal="right" vertical="center"/>
    </xf>
    <xf numFmtId="164" fontId="2" fillId="2" borderId="1" xfId="1" applyNumberForma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3" borderId="1" xfId="2" applyBorder="1" applyAlignment="1">
      <alignment horizontal="right" vertical="center"/>
    </xf>
    <xf numFmtId="0" fontId="4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2" borderId="3" xfId="1" applyBorder="1" applyAlignment="1">
      <alignment horizontal="right" vertical="center"/>
    </xf>
    <xf numFmtId="0" fontId="2" fillId="3" borderId="3" xfId="2" applyBorder="1" applyAlignment="1">
      <alignment horizontal="right" vertical="center"/>
    </xf>
  </cellXfs>
  <cellStyles count="3">
    <cellStyle name="20% - Accent2" xfId="1" builtinId="34"/>
    <cellStyle name="20% - Accent6" xfId="2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</xdr:colOff>
          <xdr:row>22</xdr:row>
          <xdr:rowOff>152400</xdr:rowOff>
        </xdr:from>
        <xdr:to>
          <xdr:col>2</xdr:col>
          <xdr:colOff>368300</xdr:colOff>
          <xdr:row>25</xdr:row>
          <xdr:rowOff>82550</xdr:rowOff>
        </xdr:to>
        <xdr:sp macro="" textlink="">
          <xdr:nvSpPr>
            <xdr:cNvPr id="1025" name="Button 1" descr="Fi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kov_exp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1556-5D17-4853-B4B7-D19B34250BC9}">
  <sheetPr codeName="Sheet1"/>
  <dimension ref="A1:P26"/>
  <sheetViews>
    <sheetView tabSelected="1" zoomScale="85" zoomScaleNormal="85" workbookViewId="0">
      <selection activeCell="F14" sqref="F2:L14"/>
    </sheetView>
  </sheetViews>
  <sheetFormatPr defaultRowHeight="14" x14ac:dyDescent="0.3"/>
  <cols>
    <col min="1" max="1" width="8.6640625" style="1"/>
    <col min="2" max="2" width="8.5" style="1" bestFit="1" customWidth="1"/>
    <col min="3" max="3" width="20.58203125" style="1" bestFit="1" customWidth="1"/>
    <col min="4" max="5" width="19.25" style="1" customWidth="1"/>
    <col min="6" max="6" width="18.08203125" bestFit="1" customWidth="1"/>
    <col min="7" max="7" width="17.25" customWidth="1"/>
    <col min="8" max="8" width="16.33203125" bestFit="1" customWidth="1"/>
    <col min="9" max="9" width="14.58203125" bestFit="1" customWidth="1"/>
    <col min="10" max="10" width="11.83203125" bestFit="1" customWidth="1"/>
    <col min="11" max="11" width="14.25" bestFit="1" customWidth="1"/>
    <col min="12" max="12" width="11.75" bestFit="1" customWidth="1"/>
    <col min="13" max="16384" width="8.6640625" style="1"/>
  </cols>
  <sheetData>
    <row r="1" spans="1:16" x14ac:dyDescent="0.3">
      <c r="A1" s="8" t="s">
        <v>3</v>
      </c>
      <c r="B1" s="8" t="s">
        <v>15</v>
      </c>
      <c r="C1" s="8" t="s">
        <v>16</v>
      </c>
      <c r="D1" s="8" t="s">
        <v>17</v>
      </c>
      <c r="E1" s="8" t="s">
        <v>18</v>
      </c>
      <c r="F1" s="8" t="s">
        <v>19</v>
      </c>
      <c r="G1" s="8" t="s">
        <v>20</v>
      </c>
      <c r="H1" s="8" t="s">
        <v>21</v>
      </c>
      <c r="I1" s="8" t="s">
        <v>22</v>
      </c>
      <c r="J1" s="8" t="s">
        <v>23</v>
      </c>
      <c r="K1" s="8" t="s">
        <v>24</v>
      </c>
      <c r="L1" s="8" t="s">
        <v>25</v>
      </c>
    </row>
    <row r="2" spans="1:16" x14ac:dyDescent="0.3">
      <c r="A2" s="6">
        <v>1</v>
      </c>
      <c r="B2" s="4">
        <v>0.25</v>
      </c>
      <c r="C2" s="4">
        <f>D17</f>
        <v>250</v>
      </c>
      <c r="D2" s="4">
        <v>507</v>
      </c>
      <c r="E2" s="4">
        <v>14049</v>
      </c>
      <c r="F2" s="7"/>
      <c r="G2" s="7"/>
      <c r="H2" s="7"/>
      <c r="I2" s="7"/>
      <c r="J2" s="7"/>
      <c r="K2" s="7"/>
      <c r="L2" s="7"/>
      <c r="P2" s="2"/>
    </row>
    <row r="3" spans="1:16" x14ac:dyDescent="0.3">
      <c r="A3" s="6">
        <v>2</v>
      </c>
      <c r="B3" s="4">
        <v>0.5</v>
      </c>
      <c r="C3" s="4">
        <f t="shared" ref="C3:C14" si="0">$D$17-($D$18*(A3-1))</f>
        <v>247</v>
      </c>
      <c r="D3" s="4">
        <v>634</v>
      </c>
      <c r="E3" s="4">
        <v>14003</v>
      </c>
      <c r="F3" s="7"/>
      <c r="G3" s="7"/>
      <c r="H3" s="7"/>
      <c r="I3" s="7"/>
      <c r="J3" s="7"/>
      <c r="K3" s="7"/>
      <c r="L3" s="7"/>
      <c r="P3" s="2"/>
    </row>
    <row r="4" spans="1:16" x14ac:dyDescent="0.3">
      <c r="A4" s="6">
        <v>3</v>
      </c>
      <c r="B4" s="4">
        <v>1</v>
      </c>
      <c r="C4" s="4">
        <f t="shared" si="0"/>
        <v>244</v>
      </c>
      <c r="D4" s="4">
        <v>875</v>
      </c>
      <c r="E4" s="4">
        <v>13544</v>
      </c>
      <c r="F4" s="7"/>
      <c r="G4" s="7"/>
      <c r="H4" s="7"/>
      <c r="I4" s="7"/>
      <c r="J4" s="7"/>
      <c r="K4" s="7"/>
      <c r="L4" s="7"/>
      <c r="P4" s="2"/>
    </row>
    <row r="5" spans="1:16" x14ac:dyDescent="0.3">
      <c r="A5" s="6">
        <v>4</v>
      </c>
      <c r="B5" s="4">
        <v>2</v>
      </c>
      <c r="C5" s="4">
        <f t="shared" si="0"/>
        <v>241</v>
      </c>
      <c r="D5" s="4">
        <v>1407</v>
      </c>
      <c r="E5" s="4">
        <v>13096</v>
      </c>
      <c r="F5" s="7"/>
      <c r="G5" s="7"/>
      <c r="H5" s="7"/>
      <c r="I5" s="7"/>
      <c r="J5" s="7"/>
      <c r="K5" s="7"/>
      <c r="L5" s="7"/>
      <c r="P5" s="2"/>
    </row>
    <row r="6" spans="1:16" x14ac:dyDescent="0.3">
      <c r="A6" s="6">
        <v>5</v>
      </c>
      <c r="B6" s="4">
        <v>3</v>
      </c>
      <c r="C6" s="4">
        <f t="shared" si="0"/>
        <v>238</v>
      </c>
      <c r="D6" s="4">
        <v>1834</v>
      </c>
      <c r="E6" s="4">
        <v>12556</v>
      </c>
      <c r="F6" s="7"/>
      <c r="G6" s="7"/>
      <c r="H6" s="7"/>
      <c r="I6" s="7"/>
      <c r="J6" s="7"/>
      <c r="K6" s="7"/>
      <c r="L6" s="7"/>
      <c r="P6" s="2"/>
    </row>
    <row r="7" spans="1:16" x14ac:dyDescent="0.3">
      <c r="A7" s="6">
        <v>6</v>
      </c>
      <c r="B7" s="4">
        <v>4</v>
      </c>
      <c r="C7" s="4">
        <f t="shared" si="0"/>
        <v>235</v>
      </c>
      <c r="D7" s="4">
        <v>2325</v>
      </c>
      <c r="E7" s="4">
        <v>12553</v>
      </c>
      <c r="F7" s="7"/>
      <c r="G7" s="7"/>
      <c r="H7" s="7"/>
      <c r="I7" s="7"/>
      <c r="J7" s="7"/>
      <c r="K7" s="7"/>
      <c r="L7" s="7"/>
      <c r="P7" s="2"/>
    </row>
    <row r="8" spans="1:16" x14ac:dyDescent="0.3">
      <c r="A8" s="6">
        <v>7</v>
      </c>
      <c r="B8" s="4">
        <v>5</v>
      </c>
      <c r="C8" s="4">
        <f t="shared" si="0"/>
        <v>232</v>
      </c>
      <c r="D8" s="4">
        <v>2695</v>
      </c>
      <c r="E8" s="4">
        <v>12098</v>
      </c>
      <c r="F8" s="7"/>
      <c r="G8" s="7"/>
      <c r="H8" s="7"/>
      <c r="I8" s="7"/>
      <c r="J8" s="7"/>
      <c r="K8" s="7"/>
      <c r="L8" s="7"/>
      <c r="P8" s="2"/>
    </row>
    <row r="9" spans="1:16" x14ac:dyDescent="0.3">
      <c r="A9" s="6">
        <v>8</v>
      </c>
      <c r="B9" s="4">
        <v>6</v>
      </c>
      <c r="C9" s="4">
        <f t="shared" si="0"/>
        <v>229</v>
      </c>
      <c r="D9" s="4">
        <v>3198</v>
      </c>
      <c r="E9" s="4">
        <v>11838</v>
      </c>
      <c r="F9" s="7"/>
      <c r="G9" s="7"/>
      <c r="H9" s="7"/>
      <c r="I9" s="7"/>
      <c r="J9" s="7"/>
      <c r="K9" s="7"/>
      <c r="L9" s="7"/>
      <c r="P9" s="2"/>
    </row>
    <row r="10" spans="1:16" x14ac:dyDescent="0.3">
      <c r="A10" s="6">
        <v>9</v>
      </c>
      <c r="B10" s="4">
        <v>11</v>
      </c>
      <c r="C10" s="4">
        <f t="shared" si="0"/>
        <v>226</v>
      </c>
      <c r="D10" s="4">
        <v>4994</v>
      </c>
      <c r="E10" s="4">
        <v>10244</v>
      </c>
      <c r="F10" s="7"/>
      <c r="G10" s="7"/>
      <c r="H10" s="7"/>
      <c r="I10" s="7"/>
      <c r="J10" s="7"/>
      <c r="K10" s="7"/>
      <c r="L10" s="7"/>
      <c r="P10" s="2"/>
    </row>
    <row r="11" spans="1:16" x14ac:dyDescent="0.3">
      <c r="A11" s="6">
        <v>10</v>
      </c>
      <c r="B11" s="4">
        <v>23</v>
      </c>
      <c r="C11" s="4">
        <f t="shared" si="0"/>
        <v>223</v>
      </c>
      <c r="D11" s="4">
        <v>7955</v>
      </c>
      <c r="E11" s="4">
        <v>7577</v>
      </c>
      <c r="F11" s="7"/>
      <c r="G11" s="7"/>
      <c r="H11" s="7"/>
      <c r="I11" s="7"/>
      <c r="J11" s="7"/>
      <c r="K11" s="7"/>
      <c r="L11" s="7"/>
      <c r="P11" s="2"/>
    </row>
    <row r="12" spans="1:16" x14ac:dyDescent="0.3">
      <c r="A12" s="6">
        <v>11</v>
      </c>
      <c r="B12" s="4">
        <v>26</v>
      </c>
      <c r="C12" s="4">
        <f t="shared" si="0"/>
        <v>220</v>
      </c>
      <c r="D12" s="4">
        <v>8527</v>
      </c>
      <c r="E12" s="4">
        <v>7032</v>
      </c>
      <c r="F12" s="7"/>
      <c r="G12" s="7"/>
      <c r="H12" s="7"/>
      <c r="I12" s="7"/>
      <c r="J12" s="7"/>
      <c r="K12" s="7"/>
      <c r="L12" s="7"/>
      <c r="P12" s="2"/>
    </row>
    <row r="13" spans="1:16" x14ac:dyDescent="0.3">
      <c r="A13" s="6">
        <v>12</v>
      </c>
      <c r="B13" s="4">
        <v>29</v>
      </c>
      <c r="C13" s="4">
        <f t="shared" si="0"/>
        <v>217</v>
      </c>
      <c r="D13" s="4">
        <v>8924</v>
      </c>
      <c r="E13" s="4">
        <v>6362</v>
      </c>
      <c r="F13" s="7"/>
      <c r="G13" s="7"/>
      <c r="H13" s="7"/>
      <c r="I13" s="7"/>
      <c r="J13" s="7"/>
      <c r="K13" s="7"/>
      <c r="L13" s="7"/>
      <c r="P13" s="2"/>
    </row>
    <row r="14" spans="1:16" x14ac:dyDescent="0.3">
      <c r="A14" s="9">
        <v>13</v>
      </c>
      <c r="B14" s="10">
        <v>30</v>
      </c>
      <c r="C14" s="10">
        <f t="shared" si="0"/>
        <v>214</v>
      </c>
      <c r="D14" s="10">
        <v>9072</v>
      </c>
      <c r="E14" s="10">
        <v>6160</v>
      </c>
      <c r="F14" s="11"/>
      <c r="G14" s="11"/>
      <c r="H14" s="11"/>
      <c r="I14" s="11"/>
      <c r="J14" s="11"/>
      <c r="K14" s="11"/>
      <c r="L14" s="11"/>
      <c r="P14" s="2"/>
    </row>
    <row r="16" spans="1:16" x14ac:dyDescent="0.3">
      <c r="C16" s="3" t="s">
        <v>4</v>
      </c>
      <c r="D16" s="4">
        <v>3.92</v>
      </c>
      <c r="E16" s="3" t="s">
        <v>5</v>
      </c>
    </row>
    <row r="17" spans="2:5" x14ac:dyDescent="0.3">
      <c r="C17" s="3" t="s">
        <v>6</v>
      </c>
      <c r="D17" s="4">
        <v>250</v>
      </c>
      <c r="E17" s="3" t="s">
        <v>7</v>
      </c>
    </row>
    <row r="18" spans="2:5" x14ac:dyDescent="0.3">
      <c r="C18" s="3" t="s">
        <v>8</v>
      </c>
      <c r="D18" s="4">
        <v>3</v>
      </c>
      <c r="E18" s="3" t="s">
        <v>7</v>
      </c>
    </row>
    <row r="19" spans="2:5" x14ac:dyDescent="0.3">
      <c r="C19" s="3" t="s">
        <v>14</v>
      </c>
      <c r="D19" s="4">
        <v>23.55</v>
      </c>
      <c r="E19" s="3"/>
    </row>
    <row r="20" spans="2:5" x14ac:dyDescent="0.3">
      <c r="C20" s="3" t="s">
        <v>9</v>
      </c>
      <c r="D20" s="5">
        <v>797.22199999999998</v>
      </c>
      <c r="E20" s="3" t="s">
        <v>10</v>
      </c>
    </row>
    <row r="21" spans="2:5" x14ac:dyDescent="0.3">
      <c r="C21" s="3" t="s">
        <v>11</v>
      </c>
      <c r="D21" s="5">
        <v>998.2</v>
      </c>
      <c r="E21" s="3" t="s">
        <v>10</v>
      </c>
    </row>
    <row r="22" spans="2:5" x14ac:dyDescent="0.3">
      <c r="B22" s="3"/>
      <c r="C22" s="3"/>
      <c r="D22" s="3"/>
    </row>
    <row r="23" spans="2:5" x14ac:dyDescent="0.3">
      <c r="B23" s="3"/>
      <c r="C23" s="6" t="s">
        <v>12</v>
      </c>
      <c r="D23" s="7"/>
      <c r="E23" s="3" t="s">
        <v>13</v>
      </c>
    </row>
    <row r="24" spans="2:5" x14ac:dyDescent="0.3">
      <c r="B24" s="3"/>
      <c r="C24" s="6" t="s">
        <v>0</v>
      </c>
      <c r="D24" s="7"/>
      <c r="E24" s="3" t="s">
        <v>5</v>
      </c>
    </row>
    <row r="25" spans="2:5" x14ac:dyDescent="0.3">
      <c r="B25" s="3"/>
      <c r="C25" s="6" t="s">
        <v>1</v>
      </c>
      <c r="D25" s="7"/>
      <c r="E25" s="3" t="s">
        <v>5</v>
      </c>
    </row>
    <row r="26" spans="2:5" x14ac:dyDescent="0.3">
      <c r="C26" s="6" t="s">
        <v>2</v>
      </c>
      <c r="D26" s="7"/>
      <c r="E26" s="3" t="s">
        <v>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Kov_Exp" altText="Fit Data">
                <anchor moveWithCells="1">
                  <from>
                    <xdr:col>0</xdr:col>
                    <xdr:colOff>406400</xdr:colOff>
                    <xdr:row>22</xdr:row>
                    <xdr:rowOff>152400</xdr:rowOff>
                  </from>
                  <to>
                    <xdr:col>2</xdr:col>
                    <xdr:colOff>368300</xdr:colOff>
                    <xdr:row>25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Dalke, Rachel</dc:creator>
  <cp:lastModifiedBy>Dalke, Rachel</cp:lastModifiedBy>
  <dcterms:created xsi:type="dcterms:W3CDTF">2026-06-10T19:34:31Z</dcterms:created>
  <dcterms:modified xsi:type="dcterms:W3CDTF">2026-10-02T19:55:45Z</dcterms:modified>
</cp:coreProperties>
</file>